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 Valuation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x"/>
    <numFmt numFmtId="166" formatCode="$#,##0"/>
  </numFmts>
  <fonts count="7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i val="1"/>
      <sz val="10"/>
    </font>
    <font>
      <name val="Calibri"/>
      <b val="1"/>
      <sz val="11"/>
    </font>
    <font>
      <name val="Calibri"/>
      <color rgb="000000FF"/>
      <sz val="1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0" fontId="5" fillId="2" borderId="0" applyAlignment="1" pivotButton="0" quotePrefix="0" xfId="0">
      <alignment horizontal="left"/>
    </xf>
    <xf numFmtId="0" fontId="5" fillId="2" borderId="0" applyAlignment="1" pivotButton="0" quotePrefix="0" xfId="0">
      <alignment horizontal="center"/>
    </xf>
    <xf numFmtId="0" fontId="6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6" fontId="6" fillId="0" borderId="0" pivotButton="0" quotePrefix="0" xfId="0"/>
    <xf numFmtId="166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PROJECT APEX: 5-YEAR DCF VALUATION MODEL</t>
        </is>
      </c>
    </row>
    <row r="2">
      <c r="A2" s="2" t="inlineStr">
        <is>
          <t>Corporate Finance &amp; Valuation Benchmark Deliverable</t>
        </is>
      </c>
    </row>
    <row r="4">
      <c r="A4" s="3" t="inlineStr">
        <is>
          <t>Model Assumptions</t>
        </is>
      </c>
    </row>
    <row r="5">
      <c r="A5" t="inlineStr">
        <is>
          <t>Tax Rate</t>
        </is>
      </c>
      <c r="B5" s="4" t="n">
        <v>0.25</v>
      </c>
    </row>
    <row r="6">
      <c r="A6" t="inlineStr">
        <is>
          <t>Discount Rate (WACC)</t>
        </is>
      </c>
      <c r="B6" s="4" t="n">
        <v>0.08500000000000001</v>
      </c>
    </row>
    <row r="7">
      <c r="A7" t="inlineStr">
        <is>
          <t>Terminal Growth Rate</t>
        </is>
      </c>
      <c r="B7" s="4" t="n">
        <v>0.025</v>
      </c>
    </row>
    <row r="8">
      <c r="A8" t="inlineStr">
        <is>
          <t>Exit Multiple (EV/EBITDA)</t>
        </is>
      </c>
      <c r="B8" s="5" t="n">
        <v>8.5</v>
      </c>
    </row>
    <row r="10">
      <c r="A10" s="6" t="inlineStr">
        <is>
          <t>Line Item ($ in thousands)</t>
        </is>
      </c>
      <c r="B10" s="7" t="inlineStr">
        <is>
          <t>FY24A</t>
        </is>
      </c>
      <c r="C10" s="7" t="inlineStr">
        <is>
          <t>FY25E</t>
        </is>
      </c>
      <c r="D10" s="7" t="inlineStr">
        <is>
          <t>FY26E</t>
        </is>
      </c>
      <c r="E10" s="7" t="inlineStr">
        <is>
          <t>FY27E</t>
        </is>
      </c>
      <c r="F10" s="7" t="inlineStr">
        <is>
          <t>FY28E</t>
        </is>
      </c>
      <c r="G10" s="7" t="inlineStr">
        <is>
          <t>FY29E</t>
        </is>
      </c>
    </row>
    <row r="11">
      <c r="A11" s="8" t="inlineStr">
        <is>
          <t>Revenue</t>
        </is>
      </c>
      <c r="B11" s="9" t="n">
        <v>50000</v>
      </c>
      <c r="C11" s="9" t="n">
        <v>56000</v>
      </c>
      <c r="D11" s="9" t="n">
        <v>62720</v>
      </c>
      <c r="E11" s="9" t="n">
        <v>70246</v>
      </c>
      <c r="F11" s="9" t="n">
        <v>78676</v>
      </c>
      <c r="G11" s="9" t="n">
        <v>88117</v>
      </c>
    </row>
    <row r="12">
      <c r="A12" s="8" t="inlineStr">
        <is>
          <t>Revenue Growth %</t>
        </is>
      </c>
      <c r="B12" s="10" t="inlineStr">
        <is>
          <t>-</t>
        </is>
      </c>
      <c r="C12" s="10">
        <f>(C11-B11)/B11</f>
        <v/>
      </c>
      <c r="D12" s="10">
        <f>(D11-C11)/C11</f>
        <v/>
      </c>
      <c r="E12" s="10">
        <f>(E11-D11)/D11</f>
        <v/>
      </c>
      <c r="F12" s="10">
        <f>(F11-E11)/E11</f>
        <v/>
      </c>
      <c r="G12" s="10">
        <f>(G11-F11)/F11</f>
        <v/>
      </c>
    </row>
    <row r="13">
      <c r="A13" s="8" t="inlineStr">
        <is>
          <t>COGS (40%)</t>
        </is>
      </c>
      <c r="B13" s="9">
        <f>B11*0.4</f>
        <v/>
      </c>
      <c r="C13" s="9">
        <f>C11*0.4</f>
        <v/>
      </c>
      <c r="D13" s="9">
        <f>D11*0.4</f>
        <v/>
      </c>
      <c r="E13" s="9">
        <f>E11*0.4</f>
        <v/>
      </c>
      <c r="F13" s="9">
        <f>F11*0.4</f>
        <v/>
      </c>
      <c r="G13" s="9">
        <f>G11*0.4</f>
        <v/>
      </c>
    </row>
    <row r="14">
      <c r="A14" s="3" t="inlineStr">
        <is>
          <t>Gross Profit</t>
        </is>
      </c>
      <c r="B14" s="9">
        <f>B11-B13</f>
        <v/>
      </c>
      <c r="C14" s="9">
        <f>C11-C13</f>
        <v/>
      </c>
      <c r="D14" s="9">
        <f>D11-D13</f>
        <v/>
      </c>
      <c r="E14" s="9">
        <f>E11-E13</f>
        <v/>
      </c>
      <c r="F14" s="9">
        <f>F11-F13</f>
        <v/>
      </c>
      <c r="G14" s="9">
        <f>G11-G13</f>
        <v/>
      </c>
    </row>
    <row r="15">
      <c r="A15" s="8" t="inlineStr">
        <is>
          <t>SG&amp;A (22%)</t>
        </is>
      </c>
      <c r="B15" s="9">
        <f>B11*0.22</f>
        <v/>
      </c>
      <c r="C15" s="9">
        <f>C11*0.22</f>
        <v/>
      </c>
      <c r="D15" s="9">
        <f>D11*0.22</f>
        <v/>
      </c>
      <c r="E15" s="9">
        <f>E11*0.22</f>
        <v/>
      </c>
      <c r="F15" s="9">
        <f>F11*0.22</f>
        <v/>
      </c>
      <c r="G15" s="9">
        <f>G11*0.22</f>
        <v/>
      </c>
    </row>
    <row r="16">
      <c r="A16" s="3" t="inlineStr">
        <is>
          <t>EBITDA</t>
        </is>
      </c>
      <c r="B16" s="9">
        <f>B14-B15</f>
        <v/>
      </c>
      <c r="C16" s="9">
        <f>C14-C15</f>
        <v/>
      </c>
      <c r="D16" s="9">
        <f>D14-D15</f>
        <v/>
      </c>
      <c r="E16" s="9">
        <f>E14-E15</f>
        <v/>
      </c>
      <c r="F16" s="9">
        <f>F14-F15</f>
        <v/>
      </c>
      <c r="G16" s="9">
        <f>G14-G15</f>
        <v/>
      </c>
    </row>
    <row r="17">
      <c r="A17" s="8" t="inlineStr">
        <is>
          <t>D&amp;A (6%)</t>
        </is>
      </c>
      <c r="B17" s="9">
        <f>B11*0.06</f>
        <v/>
      </c>
      <c r="C17" s="9">
        <f>C11*0.06</f>
        <v/>
      </c>
      <c r="D17" s="9">
        <f>D11*0.06</f>
        <v/>
      </c>
      <c r="E17" s="9">
        <f>E11*0.06</f>
        <v/>
      </c>
      <c r="F17" s="9">
        <f>F11*0.06</f>
        <v/>
      </c>
      <c r="G17" s="9">
        <f>G11*0.06</f>
        <v/>
      </c>
    </row>
    <row r="18">
      <c r="A18" s="8" t="inlineStr">
        <is>
          <t>EBIT</t>
        </is>
      </c>
      <c r="B18" s="9">
        <f>B16-B17</f>
        <v/>
      </c>
      <c r="C18" s="9">
        <f>C16-C17</f>
        <v/>
      </c>
      <c r="D18" s="9">
        <f>D16-D17</f>
        <v/>
      </c>
      <c r="E18" s="9">
        <f>E16-E17</f>
        <v/>
      </c>
      <c r="F18" s="9">
        <f>F16-F17</f>
        <v/>
      </c>
      <c r="G18" s="9">
        <f>G16-G17</f>
        <v/>
      </c>
    </row>
    <row r="19">
      <c r="A19" s="8" t="inlineStr">
        <is>
          <t>Taxes (25%)</t>
        </is>
      </c>
      <c r="B19" s="9">
        <f>MAX(0,B18)*$B$5</f>
        <v/>
      </c>
      <c r="C19" s="9">
        <f>MAX(0,C18)*$B$5</f>
        <v/>
      </c>
      <c r="D19" s="9">
        <f>MAX(0,D18)*$B$5</f>
        <v/>
      </c>
      <c r="E19" s="9">
        <f>MAX(0,E18)*$B$5</f>
        <v/>
      </c>
      <c r="F19" s="9">
        <f>MAX(0,F18)*$B$5</f>
        <v/>
      </c>
      <c r="G19" s="9">
        <f>MAX(0,G18)*$B$5</f>
        <v/>
      </c>
    </row>
    <row r="20">
      <c r="A20" s="8" t="inlineStr">
        <is>
          <t>NOPAT</t>
        </is>
      </c>
      <c r="B20" s="9">
        <f>B18-B19</f>
        <v/>
      </c>
      <c r="C20" s="9">
        <f>C18-C19</f>
        <v/>
      </c>
      <c r="D20" s="9">
        <f>D18-D19</f>
        <v/>
      </c>
      <c r="E20" s="9">
        <f>E18-E19</f>
        <v/>
      </c>
      <c r="F20" s="9">
        <f>F18-F19</f>
        <v/>
      </c>
      <c r="G20" s="9">
        <f>G18-G19</f>
        <v/>
      </c>
    </row>
    <row r="21">
      <c r="A21" s="8" t="inlineStr">
        <is>
          <t>Less: CapEx (5%)</t>
        </is>
      </c>
      <c r="B21" s="9">
        <f>B11*0.05</f>
        <v/>
      </c>
      <c r="C21" s="9">
        <f>C11*0.05</f>
        <v/>
      </c>
      <c r="D21" s="9">
        <f>D11*0.05</f>
        <v/>
      </c>
      <c r="E21" s="9">
        <f>E11*0.05</f>
        <v/>
      </c>
      <c r="F21" s="9">
        <f>F11*0.05</f>
        <v/>
      </c>
      <c r="G21" s="9">
        <f>G11*0.05</f>
        <v/>
      </c>
    </row>
    <row r="22">
      <c r="A22" s="8" t="inlineStr">
        <is>
          <t>Less: Change in NWC</t>
        </is>
      </c>
      <c r="B22" s="9" t="n">
        <v>1200</v>
      </c>
      <c r="C22" s="9" t="n">
        <v>1400</v>
      </c>
      <c r="D22" s="9" t="n">
        <v>1550</v>
      </c>
      <c r="E22" s="9" t="n">
        <v>1700</v>
      </c>
      <c r="F22" s="9" t="n">
        <v>1850</v>
      </c>
      <c r="G22" s="9" t="n">
        <v>2000</v>
      </c>
    </row>
    <row r="23">
      <c r="A23" s="3" t="inlineStr">
        <is>
          <t>Unlevered Free Cash Flow (UFCF)</t>
        </is>
      </c>
      <c r="B23" s="9">
        <f>B20+B17-B21-B22</f>
        <v/>
      </c>
      <c r="C23" s="9">
        <f>C20+C17-C21-C22</f>
        <v/>
      </c>
      <c r="D23" s="9">
        <f>D20+D17-D21-D22</f>
        <v/>
      </c>
      <c r="E23" s="9">
        <f>E20+E17-E21-E22</f>
        <v/>
      </c>
      <c r="F23" s="9">
        <f>F20+F17-F21-F22</f>
        <v/>
      </c>
      <c r="G23" s="9">
        <f>G20+G17-G21-G22</f>
        <v/>
      </c>
    </row>
    <row r="25">
      <c r="A25" s="3" t="inlineStr">
        <is>
          <t>Valuation Summary &amp; Enterprise Value</t>
        </is>
      </c>
    </row>
    <row r="26">
      <c r="A26" s="8" t="inlineStr">
        <is>
          <t>Cumulative Present Value of UFCF (FY25-FY29)</t>
        </is>
      </c>
      <c r="B26" s="11">
        <f>NPV($B$6, C23:G23)</f>
        <v/>
      </c>
    </row>
    <row r="27">
      <c r="A27" s="8" t="inlineStr">
        <is>
          <t>Terminal Value (Gordon Growth)</t>
        </is>
      </c>
      <c r="B27" s="11">
        <f>(G23*(1+$B$7))/($B$6-$B$7)</f>
        <v/>
      </c>
    </row>
    <row r="28">
      <c r="A28" s="8" t="inlineStr">
        <is>
          <t>Present Value of Terminal Value</t>
        </is>
      </c>
      <c r="B28" s="11">
        <f>B27/( (1+$B$6)^5 )</f>
        <v/>
      </c>
    </row>
    <row r="29">
      <c r="A29" s="3" t="inlineStr">
        <is>
          <t>Implied Enterprise Value</t>
        </is>
      </c>
      <c r="B29" s="12">
        <f>B26+B28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2026-08-19T19:10:11Z</dcterms:created>
  <dcterms:modified xmlns:dcterms="http://purl.org/dc/terms/" xmlns:xsi="http://www.w3.org/2001/XMLSchema-instance" xsi:type="dcterms:W3CDTF">2026-08-19T19:10:11Z</dcterms:modified>
</cp:coreProperties>
</file>